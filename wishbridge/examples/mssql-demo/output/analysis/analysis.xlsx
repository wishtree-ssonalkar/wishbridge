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QL Programs" sheetId="2" r:id="rId2"/>
    <sheet name="SQL Script Categories" sheetId="3" r:id="rId3"/>
    <sheet name="UNKNOWN SQL Category" sheetId="4" r:id="rId4"/>
    <sheet name="SQL Special Patterns" sheetId="5" r:id="rId5"/>
    <sheet name="Functions" sheetId="6" r:id="rId6"/>
    <sheet name="Functions by Script" sheetId="7" r:id="rId7"/>
    <sheet name="Scripts Functions Xref" sheetId="8" r:id="rId8"/>
    <sheet name="Referenced Objects" sheetId="9" r:id="rId9"/>
    <sheet name="Program-Object Xref" sheetId="10" r:id="rId10"/>
    <sheet name="RAW_PROGRAM_OBJECT_XREF" sheetId="11" r:id="rId11"/>
    <sheet name="RAW_PROGRAM_PARAM_LIST" sheetId="12" r:id="rId12"/>
    <sheet name="SQL Data Types" sheetId="13" r:id="rId13"/>
  </sheets>
  <definedNames>
    <definedName name="_xlnm._FilterDatabase" localSheetId="5" hidden="1">Functions!$A$1:$B$17</definedName>
    <definedName name="_xlnm._FilterDatabase" localSheetId="9" hidden="1">'Program-Object Xref'!$A$1:$F$5</definedName>
    <definedName name="_xlnm._FilterDatabase" localSheetId="10" hidden="1">RAW_PROGRAM_OBJECT_XREF!$A$1:$D$10</definedName>
    <definedName name="_xlnm._FilterDatabase" localSheetId="11" hidden="1">RAW_PROGRAM_PARAM_LIST!$A$1:$C$4</definedName>
    <definedName name="_xlnm._FilterDatabase" localSheetId="8" hidden="1">'Referenced Objects'!$A$1:$G$6</definedName>
    <definedName name="_xlnm._FilterDatabase" localSheetId="12" hidden="1">'SQL Data Types'!$A$1:$B$9</definedName>
    <definedName name="_xlnm._FilterDatabase" localSheetId="1" hidden="1">'SQL Programs'!$A$1:$L$5</definedName>
    <definedName name="_xlnm._FilterDatabase" localSheetId="2" hidden="1">'SQL Script Categories'!$A$1:$B$8</definedName>
    <definedName name="_xlnm._FilterDatabase" localSheetId="4" hidden="1">'SQL Special Patterns'!$A$1:$E$1</definedName>
    <definedName name="_xlnm._FilterDatabase" localSheetId="3" hidden="1">'UNKNOWN SQL Category'!$A$1:$B$4</definedName>
  </definedNames>
  <calcPr calcId="124519" fullCalcOnLoad="1"/>
</workbook>
</file>

<file path=xl/sharedStrings.xml><?xml version="1.0" encoding="utf-8"?>
<sst xmlns="http://schemas.openxmlformats.org/spreadsheetml/2006/main" count="283" uniqueCount="159">
  <si>
    <t>Run date/time: 2026-10-07 11:47:43</t>
  </si>
  <si>
    <t>Code Base Details</t>
  </si>
  <si>
    <t>Total SQL Scripts</t>
  </si>
  <si>
    <t>Total FILE Scripts</t>
  </si>
  <si>
    <t>Total DDLs</t>
  </si>
  <si>
    <t>Total CTAS Scripts</t>
  </si>
  <si>
    <t>Total Tables (in scripts)</t>
  </si>
  <si>
    <t>Total Views</t>
  </si>
  <si>
    <t>Total Materialized Views</t>
  </si>
  <si>
    <t>Total Indicies</t>
  </si>
  <si>
    <t>Total Packages</t>
  </si>
  <si>
    <t>Total Procedures</t>
  </si>
  <si>
    <t>Total Functions</t>
  </si>
  <si>
    <t>Total Triggers</t>
  </si>
  <si>
    <t>Total Dynamic SQL Calls</t>
  </si>
  <si>
    <t>Total Loops &amp; Cursors</t>
  </si>
  <si>
    <t>Total Conditionals</t>
  </si>
  <si>
    <t>Total MLOAD Scripts</t>
  </si>
  <si>
    <t>Total FLOAD Scripts</t>
  </si>
  <si>
    <t>Total Lines of Code</t>
  </si>
  <si>
    <t>Total Duplicated SQL Items</t>
  </si>
  <si>
    <t>Analyzer Version: 5.6.6 Build 20251204</t>
  </si>
  <si>
    <t>Command Line Options:</t>
  </si>
  <si>
    <t>Option</t>
  </si>
  <si>
    <t>Value</t>
  </si>
  <si>
    <t>-E</t>
  </si>
  <si>
    <t>-F</t>
  </si>
  <si>
    <t>-d</t>
  </si>
  <si>
    <t>C:/Users/ssonalkar/Documents/LakeBridge/wishbridge/examples/mssql-demo/input</t>
  </si>
  <si>
    <t>-e</t>
  </si>
  <si>
    <t>-r</t>
  </si>
  <si>
    <t>C:\Users\ssonalkar\Documents\LakeBridge\wishbridge\examples\mssql-demo\output\analysis\analysis.xlsx</t>
  </si>
  <si>
    <t>-t</t>
  </si>
  <si>
    <t>SQL</t>
  </si>
  <si>
    <t>Analyzer run duration:</t>
  </si>
  <si>
    <t>0h, 0m, 2s</t>
  </si>
  <si>
    <t>Program Name</t>
  </si>
  <si>
    <t>Source File</t>
  </si>
  <si>
    <t>Included</t>
  </si>
  <si>
    <t>Line Count</t>
  </si>
  <si>
    <t>Complexity</t>
  </si>
  <si>
    <t>Statement Count</t>
  </si>
  <si>
    <t>Procedure And Function Counts</t>
  </si>
  <si>
    <t>Script Category</t>
  </si>
  <si>
    <t>Categorization Metrics</t>
  </si>
  <si>
    <t>Legacy Checksum</t>
  </si>
  <si>
    <t>Checksum Extended</t>
  </si>
  <si>
    <t>Script Type</t>
  </si>
  <si>
    <t>01_create_tables.sql</t>
  </si>
  <si>
    <t>C:/Users/ssonalkar/Documents/LakeBridge/wishbridge/examples/mssql-demo/input/01_create_tables.sql</t>
  </si>
  <si>
    <t>YES</t>
  </si>
  <si>
    <t>LOW</t>
  </si>
  <si>
    <t>TABLE_DDL</t>
  </si>
  <si>
    <t>Total Statement count: 2, Conventional Statement count: 2, Simple Statement count: 0, Pivot functions: 0, XML functions: 0, Loops: 0, Medium category breaks: 0, High category breaks: 0</t>
  </si>
  <si>
    <t>56773FF827B6812D0F9C8E4D921BA4D6</t>
  </si>
  <si>
    <t>64c8198a61fd46c19bcbc3c9470a969446c6e747eac56505a1a26fd1a8e33ac31774c30a7915130180bab3f2fc8068c13eb55511ff16dfc8fa9c8613b054a5df171d3c860c4e8579892ba3474ef500ed</t>
  </si>
  <si>
    <t>02_reports.sql</t>
  </si>
  <si>
    <t>C:/Users/ssonalkar/Documents/LakeBridge/wishbridge/examples/mssql-demo/input/02_reports.sql</t>
  </si>
  <si>
    <t>READ_DML</t>
  </si>
  <si>
    <t>EAD87FDE8C968A7F487D114AC3C277D9</t>
  </si>
  <si>
    <t>09f35169a94931d0062d1d2e4215e0e098fb763fa4621ead20f47abc606dd13e1774c30a7915130180bab3f2fc8068c13eb55511ff16dfc840a77d29de9791dfa682e48538526e04</t>
  </si>
  <si>
    <t>03_procedure.sql</t>
  </si>
  <si>
    <t>C:/Users/ssonalkar/Documents/LakeBridge/wishbridge/examples/mssql-demo/input/03_procedure.sql</t>
  </si>
  <si>
    <t>CREATE_PROCEDURE,READ_DML,UNKNOWN,UPDATE</t>
  </si>
  <si>
    <t>Total Statement count: 4, Conventional Statement count: 2, Simple Statement count: 2, Pivot functions: 0, XML functions: 0, Loops: 0, Medium category breaks: 0, High category breaks: 0</t>
  </si>
  <si>
    <t>9566C9651DA6D9C37F07D3CE40A3E35D</t>
  </si>
  <si>
    <t>40841de73389eb1adfa9de6ca7c3211815fa893a36b8860df322198d0f45d64d1774c30a7915130180bab3f2fc8068c1a7bf90f3d86a967f9381fbf7fc22a705bc00b2fbf18649fcb8ef58474c50d2d8</t>
  </si>
  <si>
    <t>ETL</t>
  </si>
  <si>
    <t>04_legacy_etl.sql</t>
  </si>
  <si>
    <t>C:/Users/ssonalkar/Documents/LakeBridge/wishbridge/examples/mssql-demo/input/04_legacy_etl.sql</t>
  </si>
  <si>
    <t>CREATE_PROCEDURE,READ_DML,TABLE_DROP,UNKNOWN,UPDATE_FROM</t>
  </si>
  <si>
    <t>Total Statement count: 7, Conventional Statement count: 4, Simple Statement count: 3, Pivot functions: 0, XML functions: 0, Loops: 0, Medium category breaks: 0, High category breaks: 0</t>
  </si>
  <si>
    <t>6BA9AB2ABBCEBB99F031AD5992D071D4</t>
  </si>
  <si>
    <t>970abc36b1d946f660edcee04bc0a4cd01c91bfe09df90ebe6594ffda64e2a9f1774c30a7915130180bab3f2fc8068c1a7bf90f3d86a967f1d528402133c4285acfccee353734deed7498eb35771e652</t>
  </si>
  <si>
    <t>SQL Script Categories</t>
  </si>
  <si>
    <t># of Occurrences</t>
  </si>
  <si>
    <t>CREATE_PROCEDURE</t>
  </si>
  <si>
    <t>TABLE_DROP</t>
  </si>
  <si>
    <t>UNKNOWN</t>
  </si>
  <si>
    <t>UPDATE</t>
  </si>
  <si>
    <t>UPDATE_FROM</t>
  </si>
  <si>
    <t>SQL unknown category scripts</t>
  </si>
  <si>
    <t>END;</t>
  </si>
  <si>
    <t>GO;</t>
  </si>
  <si>
    <t>PRINT 'Rows updated: ' + CAST(@@ROWCOUNT AS VARCHAR(10));</t>
  </si>
  <si>
    <t>Job Complexity Categorization</t>
  </si>
  <si>
    <t>Procedure or Function</t>
  </si>
  <si>
    <t>MEDIUM</t>
  </si>
  <si>
    <t>HIGH</t>
  </si>
  <si>
    <t>VERY_HIGH</t>
  </si>
  <si>
    <t>Name</t>
  </si>
  <si>
    <t>Pattern Type</t>
  </si>
  <si>
    <t>Source Node</t>
  </si>
  <si>
    <t>Target Node</t>
  </si>
  <si>
    <t>Additional Info</t>
  </si>
  <si>
    <t>Function</t>
  </si>
  <si>
    <t># of Calls</t>
  </si>
  <si>
    <t>SUM</t>
  </si>
  <si>
    <t>GETDATE</t>
  </si>
  <si>
    <t>MONTH</t>
  </si>
  <si>
    <t>YEAR</t>
  </si>
  <si>
    <t>IDENTITY</t>
  </si>
  <si>
    <t>LOWER</t>
  </si>
  <si>
    <t>NVARCHAR</t>
  </si>
  <si>
    <t>IIF</t>
  </si>
  <si>
    <t>WITH</t>
  </si>
  <si>
    <t>CAST</t>
  </si>
  <si>
    <t>COUNT</t>
  </si>
  <si>
    <t>ISNULL</t>
  </si>
  <si>
    <t>DATEADD</t>
  </si>
  <si>
    <t>DATEDIFF</t>
  </si>
  <si>
    <t>MAX</t>
  </si>
  <si>
    <t>CONVERT</t>
  </si>
  <si>
    <t>Script</t>
  </si>
  <si>
    <t>OBJECT</t>
  </si>
  <si>
    <t>CREATE</t>
  </si>
  <si>
    <t>READ</t>
  </si>
  <si>
    <t>WRITE</t>
  </si>
  <si>
    <t>DROP</t>
  </si>
  <si>
    <t>TRUNCATE</t>
  </si>
  <si>
    <t>TABLE_VARIABLE</t>
  </si>
  <si>
    <t>#CustomerValue</t>
  </si>
  <si>
    <t>[dbo].[Customers]</t>
  </si>
  <si>
    <t>c</t>
  </si>
  <si>
    <t>dbo.Customers</t>
  </si>
  <si>
    <t>dbo.Orders</t>
  </si>
  <si>
    <t>CREATE: 1</t>
  </si>
  <si>
    <t>READ: 2</t>
  </si>
  <si>
    <t>WRITE: 1</t>
  </si>
  <si>
    <t>DROP: 1, READ: 1, WRITE: 1</t>
  </si>
  <si>
    <t>READ: 1</t>
  </si>
  <si>
    <t>Program</t>
  </si>
  <si>
    <t>Object</t>
  </si>
  <si>
    <t>Operation</t>
  </si>
  <si>
    <t>Count</t>
  </si>
  <si>
    <t>Parameter Name</t>
  </si>
  <si>
    <t>@DaysOld</t>
  </si>
  <si>
    <t>@ROWCOUNT</t>
  </si>
  <si>
    <t>DDL DataType</t>
  </si>
  <si>
    <t>DATETIME</t>
  </si>
  <si>
    <t>DATETIME DEFAULT GETDATE</t>
  </si>
  <si>
    <t>INT</t>
  </si>
  <si>
    <t>INT IDENTITY</t>
  </si>
  <si>
    <t>MONEY</t>
  </si>
  <si>
    <t>PROCEDURE [DBO].[USP_REFRESHCUSTOMERVALUE]
AS
BEGIN
SET NOCOUNT ON;</t>
  </si>
  <si>
    <t>VARCHAR</t>
  </si>
  <si>
    <t>Worksheet Index</t>
  </si>
  <si>
    <t>Summary</t>
  </si>
  <si>
    <t>SQL Programs</t>
  </si>
  <si>
    <t>UNKNOWN SQL Category</t>
  </si>
  <si>
    <t>SQL Special Patterns</t>
  </si>
  <si>
    <t>Functions</t>
  </si>
  <si>
    <t>Functions by Script</t>
  </si>
  <si>
    <t>Scripts Functions Xref</t>
  </si>
  <si>
    <t>Referenced Objects</t>
  </si>
  <si>
    <t>Program-Object Xref</t>
  </si>
  <si>
    <t>RAW_PROGRAM_OBJECT_XREF</t>
  </si>
  <si>
    <t>RAW_PROGRAM_PARAM_LIST</t>
  </si>
  <si>
    <t>SQL Data Types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</si>
</sst>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u/>
      <sz val="9"/>
      <color rgb="FF0000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Continuous" vertical="center"/>
    </xf>
    <xf numFmtId="0" fontId="1" fillId="2" borderId="1" xfId="0" applyFont="1" applyFill="1" applyBorder="1" applyAlignment="1">
      <alignment horizontal="right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000000"/>
      </font>
      <fill>
        <patternFill>
          <bgColor rgb="FFE6B8B7"/>
        </patternFill>
      </fill>
    </dxf>
  </dxfs>
  <tableStyles count="0" defaultTableStyle="TableStyleMedium9" defaultPivotStyle="PivotStyleLight16"/>
  <colors>
    <mruColors>
      <color rgb="FFD9D9D9"/>
    </mru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cols>
    <col min="1" max="1" width="25.7109375" customWidth="1"/>
    <col min="2" max="2" width="10.7109375" customWidth="1"/>
    <col min="3" max="3" width="20.7109375" customWidth="1"/>
    <col min="4" max="4" width="70.7109375" customWidth="1"/>
    <col min="5" max="5" width="10.7109375" customWidth="1"/>
    <col min="6" max="6" width="40.7109375" customWidth="1"/>
  </cols>
  <sheetData>
    <row r="1" spans="1:6">
      <c r="A1" s="1" t="s">
        <v>0</v>
      </c>
      <c r="B1" s="1"/>
      <c r="D1" s="2" t="s">
        <v>146</v>
      </c>
      <c r="E1" s="2" t="s">
        <v>21</v>
      </c>
      <c r="F1" s="2"/>
    </row>
    <row r="2" spans="1:6">
      <c r="D2" s="3" t="s">
        <v>147</v>
      </c>
      <c r="E2" s="2" t="s">
        <v>22</v>
      </c>
      <c r="F2" s="2"/>
    </row>
    <row r="3" spans="1:6">
      <c r="A3" s="4" t="s">
        <v>1</v>
      </c>
      <c r="B3" s="4"/>
      <c r="D3" s="3" t="s">
        <v>148</v>
      </c>
      <c r="E3" s="2" t="s">
        <v>23</v>
      </c>
      <c r="F3" s="2" t="s">
        <v>24</v>
      </c>
    </row>
    <row r="4" spans="1:6">
      <c r="A4" s="1" t="s">
        <v>2</v>
      </c>
      <c r="B4" s="5">
        <v>4</v>
      </c>
      <c r="D4" s="3" t="s">
        <v>74</v>
      </c>
      <c r="E4" s="2" t="s">
        <v>25</v>
      </c>
      <c r="F4" s="6"/>
    </row>
    <row r="5" spans="1:6">
      <c r="A5" s="1" t="s">
        <v>3</v>
      </c>
      <c r="B5" s="5">
        <v>4</v>
      </c>
      <c r="D5" s="3" t="s">
        <v>149</v>
      </c>
      <c r="E5" s="2" t="s">
        <v>26</v>
      </c>
      <c r="F5" s="6">
        <v>10000000000000</v>
      </c>
    </row>
    <row r="6" spans="1:6">
      <c r="A6" s="1" t="s">
        <v>4</v>
      </c>
      <c r="B6" s="5">
        <v>2</v>
      </c>
      <c r="D6" s="3" t="s">
        <v>150</v>
      </c>
      <c r="E6" s="2" t="s">
        <v>27</v>
      </c>
      <c r="F6" s="6" t="s">
        <v>28</v>
      </c>
    </row>
    <row r="7" spans="1:6">
      <c r="A7" s="1" t="s">
        <v>5</v>
      </c>
      <c r="B7" s="5">
        <v>0</v>
      </c>
      <c r="D7" s="3" t="s">
        <v>151</v>
      </c>
      <c r="E7" s="2" t="s">
        <v>29</v>
      </c>
      <c r="F7" s="6">
        <v>1</v>
      </c>
    </row>
    <row r="8" spans="1:6">
      <c r="A8" s="1" t="s">
        <v>6</v>
      </c>
      <c r="B8" s="5">
        <v>2</v>
      </c>
      <c r="D8" s="3" t="s">
        <v>152</v>
      </c>
      <c r="E8" s="2" t="s">
        <v>30</v>
      </c>
      <c r="F8" s="6" t="s">
        <v>31</v>
      </c>
    </row>
    <row r="9" spans="1:6">
      <c r="A9" s="1" t="s">
        <v>7</v>
      </c>
      <c r="B9" s="5">
        <v>0</v>
      </c>
      <c r="D9" s="3" t="s">
        <v>153</v>
      </c>
      <c r="E9" s="2" t="s">
        <v>32</v>
      </c>
      <c r="F9" s="6" t="s">
        <v>33</v>
      </c>
    </row>
    <row r="10" spans="1:6">
      <c r="A10" s="1" t="s">
        <v>8</v>
      </c>
      <c r="B10" s="5">
        <v>0</v>
      </c>
      <c r="D10" s="3" t="s">
        <v>154</v>
      </c>
      <c r="E10" s="2" t="s">
        <v>34</v>
      </c>
    </row>
    <row r="11" spans="1:6">
      <c r="A11" s="1" t="s">
        <v>9</v>
      </c>
      <c r="B11" s="5">
        <v>0</v>
      </c>
      <c r="D11" s="3" t="s">
        <v>155</v>
      </c>
      <c r="E11" s="6" t="s">
        <v>35</v>
      </c>
    </row>
    <row r="12" spans="1:6">
      <c r="A12" s="1" t="s">
        <v>10</v>
      </c>
      <c r="B12" s="5">
        <v>0</v>
      </c>
      <c r="D12" s="3" t="s">
        <v>156</v>
      </c>
    </row>
    <row r="13" spans="1:6">
      <c r="A13" s="1" t="s">
        <v>11</v>
      </c>
      <c r="B13" s="5">
        <v>2</v>
      </c>
      <c r="D13" s="3" t="s">
        <v>157</v>
      </c>
    </row>
    <row r="14" spans="1:6">
      <c r="A14" s="1" t="s">
        <v>12</v>
      </c>
      <c r="B14" s="5">
        <v>0</v>
      </c>
      <c r="D14" s="3" t="s">
        <v>158</v>
      </c>
    </row>
    <row r="15" spans="1:6">
      <c r="A15" s="1" t="s">
        <v>13</v>
      </c>
      <c r="B15" s="5">
        <v>0</v>
      </c>
    </row>
    <row r="16" spans="1:6">
      <c r="A16" s="1" t="s">
        <v>14</v>
      </c>
      <c r="B16" s="5">
        <v>0</v>
      </c>
    </row>
    <row r="17" spans="1:3">
      <c r="A17" s="1" t="s">
        <v>15</v>
      </c>
      <c r="B17" s="5">
        <v>0</v>
      </c>
    </row>
    <row r="18" spans="1:3">
      <c r="A18" s="1" t="s">
        <v>16</v>
      </c>
      <c r="B18" s="5">
        <v>0</v>
      </c>
    </row>
    <row r="19" spans="1:3">
      <c r="A19" s="1" t="s">
        <v>17</v>
      </c>
      <c r="B19" s="5">
        <v>0</v>
      </c>
    </row>
    <row r="20" spans="1:3">
      <c r="A20" s="1" t="s">
        <v>18</v>
      </c>
      <c r="B20" s="5">
        <v>0</v>
      </c>
    </row>
    <row r="21" spans="1:3">
      <c r="A21" s="1" t="s">
        <v>19</v>
      </c>
      <c r="B21" s="5">
        <v>72</v>
      </c>
    </row>
    <row r="22" spans="1:3">
      <c r="A22" s="1" t="s">
        <v>20</v>
      </c>
      <c r="B22" s="5">
        <v>0</v>
      </c>
    </row>
    <row r="24" spans="1:3">
      <c r="A24" s="4" t="s">
        <v>33</v>
      </c>
      <c r="B24" s="4"/>
      <c r="C24" s="4" t="s">
        <v>67</v>
      </c>
    </row>
    <row r="25" spans="1:3">
      <c r="A25" s="4" t="s">
        <v>85</v>
      </c>
      <c r="B25" s="4"/>
      <c r="C25" s="4" t="s">
        <v>86</v>
      </c>
    </row>
    <row r="26" spans="1:3">
      <c r="A26" s="1" t="s">
        <v>51</v>
      </c>
      <c r="B26" s="5">
        <f>COUNTIFS('SQL Programs'!E:E,"LOW",'SQL Programs'!C:C,"YES",'SQL Programs'!L:L,"SQL")</f>
        <v>0</v>
      </c>
      <c r="C26" s="5">
        <f>SUMIFS('SQL Programs'!G:G,'SQL Programs'!E:E,"LOW",'SQL Programs'!C:C,"YES",'SQL Programs'!L:L,"ETL")</f>
        <v>0</v>
      </c>
    </row>
    <row r="27" spans="1:3">
      <c r="A27" s="1" t="s">
        <v>87</v>
      </c>
      <c r="B27" s="5">
        <f>COUNTIFS('SQL Programs'!E:E,"MEDIUM",'SQL Programs'!C:C,"YES",'SQL Programs'!L:L,"SQL")</f>
        <v>0</v>
      </c>
      <c r="C27" s="5">
        <f>SUMIFS('SQL Programs'!G:G,'SQL Programs'!E:E,"MEDIUM",'SQL Programs'!C:C,"YES",'SQL Programs'!L:L,"ETL")</f>
        <v>0</v>
      </c>
    </row>
    <row r="28" spans="1:3">
      <c r="A28" s="1" t="s">
        <v>88</v>
      </c>
      <c r="B28" s="5">
        <f>COUNTIFS('SQL Programs'!E:E,"HIGH",'SQL Programs'!C:C,"YES",'SQL Programs'!L:L,"SQL")</f>
        <v>0</v>
      </c>
      <c r="C28" s="5">
        <f>SUMIFS('SQL Programs'!G:G,'SQL Programs'!E:E,"HIGH",'SQL Programs'!C:C,"YES",'SQL Programs'!L:L,"ETL")</f>
        <v>0</v>
      </c>
    </row>
    <row r="29" spans="1:3">
      <c r="A29" s="1" t="s">
        <v>89</v>
      </c>
      <c r="B29" s="5">
        <f>COUNTIFS('SQL Programs'!E:E,"VERY_HIGH",'SQL Programs'!C:C,"YES",'SQL Programs'!L:L,"SQL")</f>
        <v>0</v>
      </c>
      <c r="C29" s="5">
        <f>SUMIFS('SQL Programs'!G:G,'SQL Programs'!E:E,"VERY_HIGH",'SQL Programs'!C:C,"YES",'SQL Programs'!L:L,"ETL")</f>
        <v>0</v>
      </c>
    </row>
  </sheetData>
  <mergeCells count="6">
    <mergeCell ref="A1:B1"/>
    <mergeCell ref="A3:B3"/>
    <mergeCell ref="E1:F1"/>
    <mergeCell ref="E2:F2"/>
    <mergeCell ref="A24:B24"/>
    <mergeCell ref="A25:B25"/>
  </mergeCells>
  <hyperlinks>
    <hyperlink ref="D2" location="'Summary'!A1" display="Summary"/>
    <hyperlink ref="D3" location="'SQL Programs'!A1" display="SQL Programs"/>
    <hyperlink ref="D4" location="'SQL Script Categories'!A1" display="SQL Script Categories"/>
    <hyperlink ref="D5" location="'UNKNOWN SQL Category'!A1" display="UNKNOWN SQL Category"/>
    <hyperlink ref="D6" location="'SQL Special Patterns'!A1" display="SQL Special Patterns"/>
    <hyperlink ref="D7" location="'Functions'!A1" display="Functions"/>
    <hyperlink ref="D8" location="'Functions by Script'!A1" display="Functions by Script"/>
    <hyperlink ref="D9" location="'Scripts Functions Xref'!A1" display="Scripts Functions Xref"/>
    <hyperlink ref="D10" location="'Referenced Objects'!A1" display="Referenced Objects"/>
    <hyperlink ref="D11" location="'Program-Object Xref'!A1" display="Program-Object Xref"/>
    <hyperlink ref="D12" location="'RAW_PROGRAM_OBJECT_XREF'!A1" display="RAW_PROGRAM_OBJECT_XREF"/>
    <hyperlink ref="D13" location="'RAW_PROGRAM_PARAM_LIST'!A1" display="RAW_PROGRAM_PARAM_LIST"/>
    <hyperlink ref="D14" location="'SQL Data Types'!A1" display="SQL Data Types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30.7109375" customWidth="1"/>
    <col min="3" max="4" width="10.7109375" customWidth="1"/>
    <col min="5" max="6" width="15.7109375" customWidth="1"/>
    <col min="7" max="7" width="25.7109375" customWidth="1"/>
    <col min="8" max="8" width="30.7109375" customWidth="1"/>
    <col min="9" max="11" width="100.7109375" customWidth="1"/>
    <col min="12" max="12" width="30.7109375" customWidth="1"/>
  </cols>
  <sheetData>
    <row r="1" spans="1:12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</row>
    <row r="2" spans="1:12">
      <c r="A2" s="6" t="s">
        <v>48</v>
      </c>
      <c r="B2" s="6" t="s">
        <v>49</v>
      </c>
      <c r="C2" s="6" t="s">
        <v>50</v>
      </c>
      <c r="D2" s="6">
        <v>14</v>
      </c>
      <c r="E2" s="6" t="s">
        <v>51</v>
      </c>
      <c r="F2" s="6">
        <v>2</v>
      </c>
      <c r="G2" s="6">
        <v>0</v>
      </c>
      <c r="H2" s="6" t="s">
        <v>52</v>
      </c>
      <c r="I2" s="6" t="s">
        <v>53</v>
      </c>
      <c r="J2" s="6" t="s">
        <v>54</v>
      </c>
      <c r="K2" s="6" t="s">
        <v>55</v>
      </c>
      <c r="L2" s="6" t="s">
        <v>33</v>
      </c>
    </row>
    <row r="3" spans="1:12">
      <c r="A3" s="6" t="s">
        <v>56</v>
      </c>
      <c r="B3" s="6" t="s">
        <v>57</v>
      </c>
      <c r="C3" s="6" t="s">
        <v>50</v>
      </c>
      <c r="D3" s="6">
        <v>23</v>
      </c>
      <c r="E3" s="6" t="s">
        <v>51</v>
      </c>
      <c r="F3" s="6">
        <v>2</v>
      </c>
      <c r="G3" s="6">
        <v>0</v>
      </c>
      <c r="H3" s="6" t="s">
        <v>58</v>
      </c>
      <c r="I3" s="6" t="s">
        <v>53</v>
      </c>
      <c r="J3" s="6" t="s">
        <v>59</v>
      </c>
      <c r="K3" s="6" t="s">
        <v>60</v>
      </c>
      <c r="L3" s="6" t="s">
        <v>33</v>
      </c>
    </row>
    <row r="4" spans="1:12">
      <c r="A4" s="6" t="s">
        <v>61</v>
      </c>
      <c r="B4" s="6" t="s">
        <v>62</v>
      </c>
      <c r="C4" s="6" t="s">
        <v>50</v>
      </c>
      <c r="D4" s="6">
        <v>13</v>
      </c>
      <c r="E4" s="6" t="s">
        <v>51</v>
      </c>
      <c r="F4" s="6">
        <v>4</v>
      </c>
      <c r="G4" s="6">
        <v>1</v>
      </c>
      <c r="H4" s="6" t="s">
        <v>63</v>
      </c>
      <c r="I4" s="6" t="s">
        <v>64</v>
      </c>
      <c r="J4" s="6" t="s">
        <v>65</v>
      </c>
      <c r="K4" s="6" t="s">
        <v>66</v>
      </c>
      <c r="L4" s="6" t="s">
        <v>67</v>
      </c>
    </row>
    <row r="5" spans="1:12">
      <c r="A5" s="6" t="s">
        <v>68</v>
      </c>
      <c r="B5" s="6" t="s">
        <v>69</v>
      </c>
      <c r="C5" s="6" t="s">
        <v>50</v>
      </c>
      <c r="D5" s="6">
        <v>22</v>
      </c>
      <c r="E5" s="6" t="s">
        <v>51</v>
      </c>
      <c r="F5" s="6">
        <v>7</v>
      </c>
      <c r="G5" s="6">
        <v>1</v>
      </c>
      <c r="H5" s="6" t="s">
        <v>70</v>
      </c>
      <c r="I5" s="6" t="s">
        <v>71</v>
      </c>
      <c r="J5" s="6" t="s">
        <v>72</v>
      </c>
      <c r="K5" s="6" t="s">
        <v>73</v>
      </c>
      <c r="L5" s="6" t="s">
        <v>67</v>
      </c>
    </row>
  </sheetData>
  <autoFilter ref="A1:L5"/>
  <conditionalFormatting sqref="A2:I9999">
    <cfRule type="expression" dxfId="0" priority="1">
      <formula>AND($A2 &lt;&gt; "", $C2 &lt;&gt; "YES")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15.7109375" customWidth="1"/>
  </cols>
  <sheetData>
    <row r="1" spans="1:2">
      <c r="A1" s="2" t="s">
        <v>74</v>
      </c>
      <c r="B1" s="2" t="s">
        <v>75</v>
      </c>
    </row>
    <row r="2" spans="1:2">
      <c r="A2" s="6" t="s">
        <v>76</v>
      </c>
      <c r="B2" s="6">
        <v>2</v>
      </c>
    </row>
    <row r="3" spans="1:2">
      <c r="A3" s="6" t="s">
        <v>58</v>
      </c>
      <c r="B3" s="6">
        <v>4</v>
      </c>
    </row>
    <row r="4" spans="1:2">
      <c r="A4" s="6" t="s">
        <v>52</v>
      </c>
      <c r="B4" s="6">
        <v>2</v>
      </c>
    </row>
    <row r="5" spans="1:2">
      <c r="A5" s="6" t="s">
        <v>77</v>
      </c>
      <c r="B5" s="6">
        <v>1</v>
      </c>
    </row>
    <row r="6" spans="1:2">
      <c r="A6" s="6" t="s">
        <v>78</v>
      </c>
      <c r="B6" s="6">
        <v>4</v>
      </c>
    </row>
    <row r="7" spans="1:2">
      <c r="A7" s="6" t="s">
        <v>79</v>
      </c>
      <c r="B7" s="6">
        <v>1</v>
      </c>
    </row>
    <row r="8" spans="1:2">
      <c r="A8" s="6" t="s">
        <v>80</v>
      </c>
      <c r="B8" s="6">
        <v>1</v>
      </c>
    </row>
  </sheetData>
  <autoFilter ref="A1:B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00.7109375" customWidth="1"/>
    <col min="2" max="2" width="30.7109375" customWidth="1"/>
  </cols>
  <sheetData>
    <row r="1" spans="1:2">
      <c r="A1" s="2" t="s">
        <v>81</v>
      </c>
      <c r="B1" s="2" t="s">
        <v>75</v>
      </c>
    </row>
    <row r="2" spans="1:2">
      <c r="A2" s="6" t="s">
        <v>82</v>
      </c>
      <c r="B2" s="6">
        <v>2</v>
      </c>
    </row>
    <row r="3" spans="1:2">
      <c r="A3" s="6" t="s">
        <v>83</v>
      </c>
      <c r="B3" s="6">
        <v>1</v>
      </c>
    </row>
    <row r="4" spans="1:2">
      <c r="A4" s="6" t="s">
        <v>84</v>
      </c>
      <c r="B4" s="6">
        <v>1</v>
      </c>
    </row>
  </sheetData>
  <autoFilter ref="A1:B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50.7109375" customWidth="1"/>
    <col min="2" max="2" width="20.7109375" customWidth="1"/>
    <col min="3" max="4" width="30.7109375" customWidth="1"/>
    <col min="5" max="5" width="20.7109375" customWidth="1"/>
  </cols>
  <sheetData>
    <row r="1" spans="1:5">
      <c r="A1" s="2" t="s">
        <v>90</v>
      </c>
      <c r="B1" s="2" t="s">
        <v>91</v>
      </c>
      <c r="C1" s="2" t="s">
        <v>92</v>
      </c>
      <c r="D1" s="2" t="s">
        <v>93</v>
      </c>
      <c r="E1" s="2" t="s">
        <v>94</v>
      </c>
    </row>
  </sheetData>
  <autoFilter ref="A1:E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15.7109375" customWidth="1"/>
  </cols>
  <sheetData>
    <row r="1" spans="1:2">
      <c r="A1" s="2" t="s">
        <v>95</v>
      </c>
      <c r="B1" s="2" t="s">
        <v>96</v>
      </c>
    </row>
    <row r="2" spans="1:2">
      <c r="A2" s="6" t="s">
        <v>97</v>
      </c>
      <c r="B2" s="6">
        <v>4</v>
      </c>
    </row>
    <row r="3" spans="1:2">
      <c r="A3" s="6" t="s">
        <v>98</v>
      </c>
      <c r="B3" s="6">
        <v>3</v>
      </c>
    </row>
    <row r="4" spans="1:2">
      <c r="A4" s="6" t="s">
        <v>99</v>
      </c>
      <c r="B4" s="6">
        <v>2</v>
      </c>
    </row>
    <row r="5" spans="1:2">
      <c r="A5" s="6" t="s">
        <v>100</v>
      </c>
      <c r="B5" s="6">
        <v>2</v>
      </c>
    </row>
    <row r="6" spans="1:2">
      <c r="A6" s="6" t="s">
        <v>101</v>
      </c>
      <c r="B6" s="6">
        <v>2</v>
      </c>
    </row>
    <row r="7" spans="1:2">
      <c r="A7" s="6" t="s">
        <v>102</v>
      </c>
      <c r="B7" s="6">
        <v>1</v>
      </c>
    </row>
    <row r="8" spans="1:2">
      <c r="A8" s="6" t="s">
        <v>103</v>
      </c>
      <c r="B8" s="6">
        <v>1</v>
      </c>
    </row>
    <row r="9" spans="1:2">
      <c r="A9" s="6" t="s">
        <v>104</v>
      </c>
      <c r="B9" s="6">
        <v>1</v>
      </c>
    </row>
    <row r="10" spans="1:2">
      <c r="A10" s="6" t="s">
        <v>105</v>
      </c>
      <c r="B10" s="6">
        <v>1</v>
      </c>
    </row>
    <row r="11" spans="1:2">
      <c r="A11" s="6" t="s">
        <v>106</v>
      </c>
      <c r="B11" s="6">
        <v>1</v>
      </c>
    </row>
    <row r="12" spans="1:2">
      <c r="A12" s="6" t="s">
        <v>107</v>
      </c>
      <c r="B12" s="6">
        <v>1</v>
      </c>
    </row>
    <row r="13" spans="1:2">
      <c r="A13" s="6" t="s">
        <v>108</v>
      </c>
      <c r="B13" s="6">
        <v>1</v>
      </c>
    </row>
    <row r="14" spans="1:2">
      <c r="A14" s="6" t="s">
        <v>109</v>
      </c>
      <c r="B14" s="6">
        <v>1</v>
      </c>
    </row>
    <row r="15" spans="1:2">
      <c r="A15" s="6" t="s">
        <v>110</v>
      </c>
      <c r="B15" s="6">
        <v>1</v>
      </c>
    </row>
    <row r="16" spans="1:2">
      <c r="A16" s="6" t="s">
        <v>111</v>
      </c>
      <c r="B16" s="6">
        <v>1</v>
      </c>
    </row>
    <row r="17" spans="1:2">
      <c r="A17" s="6" t="s">
        <v>112</v>
      </c>
      <c r="B17" s="6">
        <v>1</v>
      </c>
    </row>
  </sheetData>
  <autoFilter ref="A1:B17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70.7109375" customWidth="1"/>
    <col min="2" max="2" width="40.7109375" customWidth="1"/>
    <col min="3" max="3" width="10.7109375" customWidth="1"/>
  </cols>
  <sheetData>
    <row r="1" spans="1:3">
      <c r="A1" s="2" t="s">
        <v>113</v>
      </c>
      <c r="B1" s="2" t="s">
        <v>95</v>
      </c>
      <c r="C1" s="2" t="s">
        <v>96</v>
      </c>
    </row>
    <row r="2" spans="1:3">
      <c r="A2" s="6" t="s">
        <v>62</v>
      </c>
      <c r="B2" s="6" t="s">
        <v>110</v>
      </c>
      <c r="C2" s="6">
        <v>1</v>
      </c>
    </row>
    <row r="3" spans="1:3">
      <c r="A3" s="6" t="s">
        <v>62</v>
      </c>
      <c r="B3" s="6" t="s">
        <v>98</v>
      </c>
      <c r="C3" s="6">
        <v>1</v>
      </c>
    </row>
    <row r="4" spans="1:3">
      <c r="A4" s="6" t="s">
        <v>57</v>
      </c>
      <c r="B4" s="6" t="s">
        <v>97</v>
      </c>
      <c r="C4" s="6">
        <v>3</v>
      </c>
    </row>
    <row r="5" spans="1:3">
      <c r="A5" s="6" t="s">
        <v>57</v>
      </c>
      <c r="B5" s="6" t="s">
        <v>107</v>
      </c>
      <c r="C5" s="6">
        <v>1</v>
      </c>
    </row>
    <row r="6" spans="1:3">
      <c r="A6" s="6" t="s">
        <v>57</v>
      </c>
      <c r="B6" s="6" t="s">
        <v>99</v>
      </c>
      <c r="C6" s="6">
        <v>2</v>
      </c>
    </row>
    <row r="7" spans="1:3">
      <c r="A7" s="6" t="s">
        <v>57</v>
      </c>
      <c r="B7" s="6" t="s">
        <v>109</v>
      </c>
      <c r="C7" s="6">
        <v>1</v>
      </c>
    </row>
    <row r="8" spans="1:3">
      <c r="A8" s="6" t="s">
        <v>57</v>
      </c>
      <c r="B8" s="6" t="s">
        <v>100</v>
      </c>
      <c r="C8" s="6">
        <v>2</v>
      </c>
    </row>
    <row r="9" spans="1:3">
      <c r="A9" s="6" t="s">
        <v>57</v>
      </c>
      <c r="B9" s="6" t="s">
        <v>108</v>
      </c>
      <c r="C9" s="6">
        <v>1</v>
      </c>
    </row>
    <row r="10" spans="1:3">
      <c r="A10" s="6" t="s">
        <v>57</v>
      </c>
      <c r="B10" s="6" t="s">
        <v>111</v>
      </c>
      <c r="C10" s="6">
        <v>1</v>
      </c>
    </row>
    <row r="11" spans="1:3">
      <c r="A11" s="6" t="s">
        <v>57</v>
      </c>
      <c r="B11" s="6" t="s">
        <v>112</v>
      </c>
      <c r="C11" s="6">
        <v>1</v>
      </c>
    </row>
    <row r="12" spans="1:3">
      <c r="A12" s="6" t="s">
        <v>57</v>
      </c>
      <c r="B12" s="6" t="s">
        <v>104</v>
      </c>
      <c r="C12" s="6">
        <v>1</v>
      </c>
    </row>
    <row r="13" spans="1:3">
      <c r="A13" s="6" t="s">
        <v>57</v>
      </c>
      <c r="B13" s="6" t="s">
        <v>98</v>
      </c>
      <c r="C13" s="6">
        <v>1</v>
      </c>
    </row>
    <row r="14" spans="1:3">
      <c r="A14" s="6" t="s">
        <v>49</v>
      </c>
      <c r="B14" s="6" t="s">
        <v>103</v>
      </c>
      <c r="C14" s="6">
        <v>1</v>
      </c>
    </row>
    <row r="15" spans="1:3">
      <c r="A15" s="6" t="s">
        <v>49</v>
      </c>
      <c r="B15" s="6" t="s">
        <v>101</v>
      </c>
      <c r="C15" s="6">
        <v>2</v>
      </c>
    </row>
    <row r="16" spans="1:3">
      <c r="A16" s="6" t="s">
        <v>49</v>
      </c>
      <c r="B16" s="6" t="s">
        <v>98</v>
      </c>
      <c r="C16" s="6">
        <v>1</v>
      </c>
    </row>
    <row r="17" spans="1:3">
      <c r="A17" s="6" t="s">
        <v>69</v>
      </c>
      <c r="B17" s="6" t="s">
        <v>105</v>
      </c>
      <c r="C17" s="6">
        <v>1</v>
      </c>
    </row>
    <row r="18" spans="1:3">
      <c r="A18" s="6" t="s">
        <v>69</v>
      </c>
      <c r="B18" s="6" t="s">
        <v>106</v>
      </c>
      <c r="C18" s="6">
        <v>1</v>
      </c>
    </row>
    <row r="19" spans="1:3">
      <c r="A19" s="6" t="s">
        <v>69</v>
      </c>
      <c r="B19" s="6" t="s">
        <v>97</v>
      </c>
      <c r="C19" s="6">
        <v>1</v>
      </c>
    </row>
    <row r="20" spans="1:3">
      <c r="A20" s="6" t="s">
        <v>69</v>
      </c>
      <c r="B20" s="6" t="s">
        <v>102</v>
      </c>
      <c r="C20" s="6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cols>
    <col min="1" max="1" width="80.7109375" customWidth="1"/>
    <col min="2" max="17" width="15.7109375" customWidth="1"/>
  </cols>
  <sheetData>
    <row r="1" spans="1:17">
      <c r="A1" s="2" t="s">
        <v>113</v>
      </c>
      <c r="B1" s="7" t="s">
        <v>97</v>
      </c>
      <c r="C1" s="7" t="s">
        <v>98</v>
      </c>
      <c r="D1" s="7" t="s">
        <v>99</v>
      </c>
      <c r="E1" s="7" t="s">
        <v>100</v>
      </c>
      <c r="F1" s="7" t="s">
        <v>101</v>
      </c>
      <c r="G1" s="7" t="s">
        <v>102</v>
      </c>
      <c r="H1" s="7" t="s">
        <v>103</v>
      </c>
      <c r="I1" s="7" t="s">
        <v>104</v>
      </c>
      <c r="J1" s="7" t="s">
        <v>105</v>
      </c>
      <c r="K1" s="7" t="s">
        <v>106</v>
      </c>
      <c r="L1" s="7" t="s">
        <v>107</v>
      </c>
      <c r="M1" s="7" t="s">
        <v>108</v>
      </c>
      <c r="N1" s="7" t="s">
        <v>109</v>
      </c>
      <c r="O1" s="7" t="s">
        <v>110</v>
      </c>
      <c r="P1" s="7" t="s">
        <v>111</v>
      </c>
      <c r="Q1" s="7" t="s">
        <v>112</v>
      </c>
    </row>
    <row r="2" spans="1:17">
      <c r="A2" s="6" t="s">
        <v>62</v>
      </c>
      <c r="C2" s="6">
        <v>1</v>
      </c>
      <c r="O2" s="6">
        <v>1</v>
      </c>
    </row>
    <row r="3" spans="1:17">
      <c r="A3" s="6" t="s">
        <v>57</v>
      </c>
      <c r="B3" s="6">
        <v>3</v>
      </c>
      <c r="C3" s="6">
        <v>1</v>
      </c>
      <c r="D3" s="6">
        <v>2</v>
      </c>
      <c r="E3" s="6">
        <v>2</v>
      </c>
      <c r="I3" s="6">
        <v>1</v>
      </c>
      <c r="L3" s="6">
        <v>1</v>
      </c>
      <c r="M3" s="6">
        <v>1</v>
      </c>
      <c r="N3" s="6">
        <v>1</v>
      </c>
      <c r="P3" s="6">
        <v>1</v>
      </c>
      <c r="Q3" s="6">
        <v>1</v>
      </c>
    </row>
    <row r="4" spans="1:17">
      <c r="A4" s="6" t="s">
        <v>49</v>
      </c>
      <c r="C4" s="6">
        <v>1</v>
      </c>
      <c r="F4" s="6">
        <v>2</v>
      </c>
      <c r="H4" s="6">
        <v>1</v>
      </c>
    </row>
    <row r="5" spans="1:17">
      <c r="A5" s="6" t="s">
        <v>69</v>
      </c>
      <c r="B5" s="6">
        <v>1</v>
      </c>
      <c r="G5" s="6">
        <v>1</v>
      </c>
      <c r="J5" s="6">
        <v>1</v>
      </c>
      <c r="K5" s="6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0.7109375" customWidth="1"/>
    <col min="2" max="7" width="10.7109375" customWidth="1"/>
  </cols>
  <sheetData>
    <row r="1" spans="1:7">
      <c r="A1" s="7" t="s">
        <v>114</v>
      </c>
      <c r="B1" s="7" t="s">
        <v>115</v>
      </c>
      <c r="C1" s="7" t="s">
        <v>116</v>
      </c>
      <c r="D1" s="7" t="s">
        <v>117</v>
      </c>
      <c r="E1" s="7" t="s">
        <v>118</v>
      </c>
      <c r="F1" s="7" t="s">
        <v>119</v>
      </c>
      <c r="G1" s="7" t="s">
        <v>120</v>
      </c>
    </row>
    <row r="2" spans="1:7">
      <c r="A2" s="6" t="s">
        <v>121</v>
      </c>
      <c r="C2" s="8">
        <v>1</v>
      </c>
      <c r="D2" s="8">
        <v>1</v>
      </c>
      <c r="E2" s="8">
        <v>1</v>
      </c>
    </row>
    <row r="3" spans="1:7">
      <c r="A3" s="6" t="s">
        <v>122</v>
      </c>
      <c r="C3" s="8">
        <v>1</v>
      </c>
    </row>
    <row r="4" spans="1:7">
      <c r="A4" s="6" t="s">
        <v>123</v>
      </c>
      <c r="D4" s="8">
        <v>1</v>
      </c>
    </row>
    <row r="5" spans="1:7">
      <c r="A5" s="6" t="s">
        <v>124</v>
      </c>
      <c r="B5" s="8">
        <v>1</v>
      </c>
    </row>
    <row r="6" spans="1:7">
      <c r="A6" s="6" t="s">
        <v>125</v>
      </c>
      <c r="B6" s="8">
        <v>1</v>
      </c>
      <c r="C6" s="8">
        <v>2</v>
      </c>
      <c r="D6" s="8">
        <v>1</v>
      </c>
    </row>
  </sheetData>
  <autoFilter ref="A1:G6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0.7109375" customWidth="1"/>
    <col min="2" max="6" width="30.7109375" customWidth="1"/>
  </cols>
  <sheetData>
    <row r="1" spans="1:6">
      <c r="B1" s="7" t="s">
        <v>121</v>
      </c>
      <c r="C1" s="7" t="s">
        <v>122</v>
      </c>
      <c r="D1" s="7" t="s">
        <v>123</v>
      </c>
      <c r="E1" s="7" t="s">
        <v>124</v>
      </c>
      <c r="F1" s="7" t="s">
        <v>125</v>
      </c>
    </row>
    <row r="2" spans="1:6">
      <c r="A2" s="2" t="s">
        <v>49</v>
      </c>
      <c r="E2" s="8" t="s">
        <v>126</v>
      </c>
      <c r="F2" s="8" t="s">
        <v>126</v>
      </c>
    </row>
    <row r="3" spans="1:6">
      <c r="A3" s="2" t="s">
        <v>57</v>
      </c>
      <c r="F3" s="8" t="s">
        <v>127</v>
      </c>
    </row>
    <row r="4" spans="1:6">
      <c r="A4" s="2" t="s">
        <v>62</v>
      </c>
      <c r="F4" s="8" t="s">
        <v>128</v>
      </c>
    </row>
    <row r="5" spans="1:6">
      <c r="A5" s="2" t="s">
        <v>69</v>
      </c>
      <c r="B5" s="8" t="s">
        <v>129</v>
      </c>
      <c r="C5" s="8" t="s">
        <v>130</v>
      </c>
      <c r="D5" s="8" t="s">
        <v>128</v>
      </c>
    </row>
  </sheetData>
  <autoFilter ref="A1:F5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4" width="30.7109375" customWidth="1"/>
  </cols>
  <sheetData>
    <row r="1" spans="1:4">
      <c r="A1" s="7" t="s">
        <v>131</v>
      </c>
      <c r="B1" s="7" t="s">
        <v>132</v>
      </c>
      <c r="C1" s="7" t="s">
        <v>133</v>
      </c>
      <c r="D1" s="7" t="s">
        <v>134</v>
      </c>
    </row>
    <row r="2" spans="1:4">
      <c r="A2" s="6" t="s">
        <v>49</v>
      </c>
      <c r="B2" s="6" t="s">
        <v>124</v>
      </c>
      <c r="C2" s="6" t="s">
        <v>115</v>
      </c>
      <c r="D2" s="6">
        <v>1</v>
      </c>
    </row>
    <row r="3" spans="1:4">
      <c r="A3" s="6" t="s">
        <v>49</v>
      </c>
      <c r="B3" s="6" t="s">
        <v>125</v>
      </c>
      <c r="C3" s="6" t="s">
        <v>115</v>
      </c>
      <c r="D3" s="6">
        <v>1</v>
      </c>
    </row>
    <row r="4" spans="1:4">
      <c r="A4" s="6" t="s">
        <v>57</v>
      </c>
      <c r="B4" s="6" t="s">
        <v>125</v>
      </c>
      <c r="C4" s="6" t="s">
        <v>116</v>
      </c>
      <c r="D4" s="6">
        <v>2</v>
      </c>
    </row>
    <row r="5" spans="1:4">
      <c r="A5" s="6" t="s">
        <v>62</v>
      </c>
      <c r="B5" s="6" t="s">
        <v>125</v>
      </c>
      <c r="C5" s="6" t="s">
        <v>117</v>
      </c>
      <c r="D5" s="6">
        <v>1</v>
      </c>
    </row>
    <row r="6" spans="1:4">
      <c r="A6" s="6" t="s">
        <v>69</v>
      </c>
      <c r="B6" s="6" t="s">
        <v>121</v>
      </c>
      <c r="C6" s="6" t="s">
        <v>118</v>
      </c>
      <c r="D6" s="6">
        <v>1</v>
      </c>
    </row>
    <row r="7" spans="1:4">
      <c r="A7" s="6" t="s">
        <v>69</v>
      </c>
      <c r="B7" s="6" t="s">
        <v>121</v>
      </c>
      <c r="C7" s="6" t="s">
        <v>116</v>
      </c>
      <c r="D7" s="6">
        <v>1</v>
      </c>
    </row>
    <row r="8" spans="1:4">
      <c r="A8" s="6" t="s">
        <v>69</v>
      </c>
      <c r="B8" s="6" t="s">
        <v>121</v>
      </c>
      <c r="C8" s="6" t="s">
        <v>117</v>
      </c>
      <c r="D8" s="6">
        <v>1</v>
      </c>
    </row>
    <row r="9" spans="1:4">
      <c r="A9" s="6" t="s">
        <v>69</v>
      </c>
      <c r="B9" s="6" t="s">
        <v>122</v>
      </c>
      <c r="C9" s="6" t="s">
        <v>116</v>
      </c>
      <c r="D9" s="6">
        <v>1</v>
      </c>
    </row>
    <row r="10" spans="1:4">
      <c r="A10" s="6" t="s">
        <v>69</v>
      </c>
      <c r="B10" s="6" t="s">
        <v>123</v>
      </c>
      <c r="C10" s="6" t="s">
        <v>117</v>
      </c>
      <c r="D10" s="6">
        <v>1</v>
      </c>
    </row>
  </sheetData>
  <autoFilter ref="A1:D1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3" width="30.7109375" customWidth="1"/>
  </cols>
  <sheetData>
    <row r="1" spans="1:3">
      <c r="A1" s="7" t="s">
        <v>131</v>
      </c>
      <c r="B1" s="7" t="s">
        <v>135</v>
      </c>
      <c r="C1" s="7" t="s">
        <v>134</v>
      </c>
    </row>
    <row r="2" spans="1:3">
      <c r="A2" s="6" t="s">
        <v>62</v>
      </c>
      <c r="B2" s="6" t="s">
        <v>136</v>
      </c>
      <c r="C2" s="6">
        <v>2</v>
      </c>
    </row>
    <row r="3" spans="1:3">
      <c r="A3" s="6" t="s">
        <v>62</v>
      </c>
      <c r="B3" s="6" t="s">
        <v>137</v>
      </c>
      <c r="C3" s="6">
        <v>1</v>
      </c>
    </row>
    <row r="4" spans="1:3">
      <c r="A4" s="6" t="s">
        <v>69</v>
      </c>
      <c r="B4" s="6" t="s">
        <v>137</v>
      </c>
      <c r="C4" s="6">
        <v>1</v>
      </c>
    </row>
  </sheetData>
  <autoFilter ref="A1:C4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30.7109375" customWidth="1"/>
  </cols>
  <sheetData>
    <row r="1" spans="1:2">
      <c r="A1" s="2" t="s">
        <v>138</v>
      </c>
      <c r="B1" s="2" t="s">
        <v>75</v>
      </c>
    </row>
    <row r="2" spans="1:2">
      <c r="A2" s="6" t="s">
        <v>139</v>
      </c>
      <c r="B2" s="6">
        <v>1</v>
      </c>
    </row>
    <row r="3" spans="1:2">
      <c r="A3" s="6" t="s">
        <v>140</v>
      </c>
      <c r="B3" s="6">
        <v>1</v>
      </c>
    </row>
    <row r="4" spans="1:2">
      <c r="A4" s="6" t="s">
        <v>141</v>
      </c>
      <c r="B4" s="6">
        <v>1</v>
      </c>
    </row>
    <row r="5" spans="1:2">
      <c r="A5" s="6" t="s">
        <v>142</v>
      </c>
      <c r="B5" s="6">
        <v>2</v>
      </c>
    </row>
    <row r="6" spans="1:2">
      <c r="A6" s="6" t="s">
        <v>143</v>
      </c>
      <c r="B6" s="6">
        <v>1</v>
      </c>
    </row>
    <row r="7" spans="1:2">
      <c r="A7" s="6" t="s">
        <v>103</v>
      </c>
      <c r="B7" s="6">
        <v>1</v>
      </c>
    </row>
    <row r="8" spans="1:2">
      <c r="A8" s="6" t="s">
        <v>144</v>
      </c>
      <c r="B8" s="6">
        <v>1</v>
      </c>
    </row>
    <row r="9" spans="1:2">
      <c r="A9" s="6" t="s">
        <v>145</v>
      </c>
      <c r="B9" s="6">
        <v>3</v>
      </c>
    </row>
  </sheetData>
  <autoFilter ref="A1:B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</vt:lpstr>
      <vt:lpstr>SQL Programs</vt:lpstr>
      <vt:lpstr>SQL Script Categories</vt:lpstr>
      <vt:lpstr>UNKNOWN SQL Category</vt:lpstr>
      <vt:lpstr>SQL Special Patterns</vt:lpstr>
      <vt:lpstr>Functions</vt:lpstr>
      <vt:lpstr>Functions by Script</vt:lpstr>
      <vt:lpstr>Scripts Functions Xref</vt:lpstr>
      <vt:lpstr>Referenced Objects</vt:lpstr>
      <vt:lpstr>Program-Object Xref</vt:lpstr>
      <vt:lpstr>RAW_PROGRAM_OBJECT_XREF</vt:lpstr>
      <vt:lpstr>RAW_PROGRAM_PARAM_LIST</vt:lpstr>
      <vt:lpstr>SQL Data Types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2026-10-07T06:17:48Z</dcterms:created>
  <dcterms:modified xsi:type="dcterms:W3CDTF">2026-10-07T06:17:48Z</dcterms:modified>
</cp:coreProperties>
</file>